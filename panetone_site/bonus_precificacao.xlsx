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b1fcc1d63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ificacao" sheetId="1" r:id="R279b9c154865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&quot;R$ &quot; 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B211C"/>
      </x:patternFill>
    </x:fill>
    <x:fill>
      <x:patternFill patternType="solid">
        <x:fgColor rgb="FF8F2732"/>
      </x:patternFill>
    </x:fill>
    <x:fill>
      <x:patternFill patternType="solid">
        <x:fgColor rgb="FFF3E2C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8706e6f44411a" /><Relationship Type="http://schemas.openxmlformats.org/officeDocument/2006/relationships/theme" Target="/xl/theme/theme1.xml" Id="Re76a8abfd2d34880" /><Relationship Type="http://schemas.openxmlformats.org/officeDocument/2006/relationships/sharedStrings" Target="/xl/sharedStrings.xml" Id="Ree72bc68c9f249db" /><Relationship Type="http://schemas.openxmlformats.org/officeDocument/2006/relationships/worksheet" Target="/xl/worksheets/sheet1.xml" Id="R279b9c1548654d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34" hidden="0" customWidth="1"/>
    <x:col min="4" max="4" width="19" hidden="0" customWidth="1"/>
    <x:col min="5" max="5" width="12" hidden="0" customWidth="1"/>
    <x:col min="6" max="6" width="12" hidden="0" customWidth="1"/>
  </x:cols>
  <x:sheetData>
    <x:row r="1" ht="35" customHeight="1">
      <x:c r="A1" s="3" t="str">
        <x:v>PRECIFICAÇÃO • PANETONE GOURMET</x:v>
      </x:c>
      <x:c r="B1" s="3"/>
      <x:c r="C1" s="3"/>
      <x:c r="D1" s="3"/>
      <x:c r="E1" s="3"/>
      <x:c r="F1" s="3"/>
    </x:row>
    <x:row r="3">
      <x:c r="A3" s="7" t="str">
        <x:v>CONFIGURAÇÃO</x:v>
      </x:c>
      <x:c r="B3" s="7" t="str">
        <x:v>VALOR</x:v>
      </x:c>
    </x:row>
    <x:row r="4">
      <x:c r="A4" s="12" t="str">
        <x:v>Sabor / produto</x:v>
      </x:c>
      <x:c r="B4" t="str">
        <x:v>Chocolate Gourmet</x:v>
      </x:c>
    </x:row>
    <x:row r="5">
      <x:c r="A5" s="12" t="str">
        <x:v>Unidades produzidas por lote</x:v>
      </x:c>
      <x:c r="B5" t="n">
        <x:v>2</x:v>
      </x:c>
    </x:row>
    <x:row r="6">
      <x:c r="A6" s="12" t="str">
        <x:v>Despesas variáveis (%)</x:v>
      </x:c>
      <x:c r="B6" s="14" t="n">
        <x:v>0.15</x:v>
      </x:c>
    </x:row>
    <x:row r="7">
      <x:c r="A7" s="12" t="str">
        <x:v>Margem desejada (%)</x:v>
      </x:c>
      <x:c r="B7" s="14" t="n">
        <x:v>0.25</x:v>
      </x:c>
    </x:row>
    <x:row r="8">
      <x:c r="A8" s="12" t="str">
        <x:v>Preço sugerido por unidade</x:v>
      </x:c>
      <x:c r="B8" s="16" t="n">
        <x:f>IFERROR(B22/(1-B6-B7),0)</x:f>
        <x:v>66.66666666666667</x:v>
      </x:c>
    </x:row>
    <x:row r="9">
      <x:c r="A9" s="12" t="str">
        <x:v>Margem efetiva estimada (%)</x:v>
      </x:c>
      <x:c r="B9" s="14" t="n">
        <x:f>IFERROR(1-B22/B8-B6,0)</x:f>
        <x:v>0.25</x:v>
      </x:c>
    </x:row>
    <x:row r="11">
      <x:c r="A11" s="7" t="str">
        <x:v>ITEM</x:v>
      </x:c>
      <x:c r="B11" s="7" t="str">
        <x:v>CUSTO LOTE (R$)</x:v>
      </x:c>
      <x:c r="C11" s="7" t="str">
        <x:v>OBSERVAÇÃO</x:v>
      </x:c>
      <x:c r="D11" s="7" t="str">
        <x:v>TIPO</x:v>
      </x:c>
    </x:row>
    <x:row r="12">
      <x:c r="A12" t="str">
        <x:v>Massa-base</x:v>
      </x:c>
      <x:c r="B12" s="16" t="n">
        <x:v>11</x:v>
      </x:c>
      <x:c r="C12" t="str">
        <x:v>Ingredientes da receita-base</x:v>
      </x:c>
      <x:c r="D12" t="str">
        <x:v>Ingredientes</x:v>
      </x:c>
    </x:row>
    <x:row r="13">
      <x:c r="A13" t="str">
        <x:v>Recheio</x:v>
      </x:c>
      <x:c r="B13" s="16" t="n">
        <x:v>18</x:v>
      </x:c>
      <x:c r="C13" t="str">
        <x:v>Exemplo ilustrativo: atualizar</x:v>
      </x:c>
      <x:c r="D13" t="str">
        <x:v>Ingredientes</x:v>
      </x:c>
    </x:row>
    <x:row r="14">
      <x:c r="A14" t="str">
        <x:v>Cobertura e decoração</x:v>
      </x:c>
      <x:c r="B14" s="16" t="n">
        <x:v>10</x:v>
      </x:c>
      <x:c r="C14" t="str">
        <x:v>Exemplo ilustrativo: atualizar</x:v>
      </x:c>
      <x:c r="D14" t="str">
        <x:v>Ingredientes</x:v>
      </x:c>
    </x:row>
    <x:row r="15">
      <x:c r="A15" t="str">
        <x:v>Embalagens</x:v>
      </x:c>
      <x:c r="B15" s="16" t="n">
        <x:v>8</x:v>
      </x:c>
      <x:c r="C15" t="str">
        <x:v>Exemplo ilustrativo: atualizar</x:v>
      </x:c>
      <x:c r="D15" t="str">
        <x:v>Embalagem</x:v>
      </x:c>
    </x:row>
    <x:row r="16">
      <x:c r="A16" t="str">
        <x:v>Energia e gás</x:v>
      </x:c>
      <x:c r="B16" s="16" t="n">
        <x:v>4</x:v>
      </x:c>
      <x:c r="C16" t="str">
        <x:v>Exemplo ilustrativo: atualizar</x:v>
      </x:c>
      <x:c r="D16" t="str">
        <x:v>Operação</x:v>
      </x:c>
    </x:row>
    <x:row r="17">
      <x:c r="A17" t="str">
        <x:v>Mão de obra</x:v>
      </x:c>
      <x:c r="B17" s="16" t="n">
        <x:v>20</x:v>
      </x:c>
      <x:c r="C17" t="str">
        <x:v>Exemplo ilustrativo: atualizar</x:v>
      </x:c>
      <x:c r="D17" t="str">
        <x:v>Operação</x:v>
      </x:c>
    </x:row>
    <x:row r="18">
      <x:c r="A18" t="str">
        <x:v>Despesas gerais</x:v>
      </x:c>
      <x:c r="B18" s="16" t="n">
        <x:v>6</x:v>
      </x:c>
      <x:c r="C18" t="str">
        <x:v>Exemplo ilustrativo: atualizar</x:v>
      </x:c>
      <x:c r="D18" t="str">
        <x:v>Operação</x:v>
      </x:c>
    </x:row>
    <x:row r="19">
      <x:c r="A19" t="str">
        <x:v>Perdas previstas</x:v>
      </x:c>
      <x:c r="B19" s="16" t="n">
        <x:v>3</x:v>
      </x:c>
      <x:c r="C19" t="str">
        <x:v>Exemplo ilustrativo: atualizar</x:v>
      </x:c>
      <x:c r="D19" t="str">
        <x:v>Operação</x:v>
      </x:c>
    </x:row>
    <x:row r="20">
      <x:c r="B20" s="16"/>
    </x:row>
    <x:row r="21">
      <x:c r="A21" s="10" t="str">
        <x:v>Custo total do lote</x:v>
      </x:c>
      <x:c r="B21" s="18" t="n">
        <x:f>SUM(B12:B19)</x:f>
        <x:v>80</x:v>
      </x:c>
    </x:row>
    <x:row r="22">
      <x:c r="A22" s="10" t="str">
        <x:v>Custo por unidade</x:v>
      </x:c>
      <x:c r="B22" s="18" t="n">
        <x:f>IFERROR(B21/B5,0)</x:f>
        <x:v>40</x:v>
      </x:c>
    </x:row>
    <x:row r="23">
      <x:c r="A23" s="10" t="str">
        <x:v>Preço sugerido do lote</x:v>
      </x:c>
      <x:c r="B23" s="18" t="n">
        <x:f>B8*B5</x:f>
        <x:v>133.33333333333334</x:v>
      </x:c>
    </x:row>
    <x:row r="25" ht="32" customHeight="1">
      <x:c r="A25" s="20" t="str">
        <x:v>Exemplo didático: substitua os valores pelos seus custos reais; não é garantia de lucro.</x:v>
      </x:c>
      <x:c r="B25" s="20"/>
      <x:c r="C25" s="20"/>
      <x:c r="D25" s="20"/>
      <x:c r="E25" s="20"/>
      <x:c r="F25" s="20"/>
    </x:row>
  </x:sheetData>
  <x:mergeCells>
    <x:mergeCell ref="A1:F1"/>
    <x:mergeCell ref="A25:F25"/>
  </x:mergeCells>
  <x:pageMargins left="0.7" right="0.7" top="0.75" bottom="0.75" header="0.3" footer="0.3"/>
</x:worksheet>
</file>